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charts/_rels/chart1.xml.rels" ContentType="application/vnd.openxmlformats-package.relationships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1"/>
  </bookViews>
  <sheets>
    <sheet name="Hoja1" sheetId="1" state="hidden" r:id="rId3"/>
    <sheet name="ventas_ene-ju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<sst xmlns="http://schemas.openxmlformats.org/spreadsheetml/2006/main" count="20" uniqueCount="16">
  <si>
    <t xml:space="preserve">Proyecto</t>
  </si>
  <si>
    <t xml:space="preserve">Mes</t>
  </si>
  <si>
    <t xml:space="preserve">Ventas</t>
  </si>
  <si>
    <t xml:space="preserve">X</t>
  </si>
  <si>
    <t xml:space="preserve">Y</t>
  </si>
  <si>
    <t xml:space="preserve"> </t>
  </si>
  <si>
    <t xml:space="preserve">   </t>
  </si>
  <si>
    <t xml:space="preserve">        </t>
  </si>
  <si>
    <t xml:space="preserve">      </t>
  </si>
  <si>
    <t xml:space="preserve">Predicciones</t>
  </si>
  <si>
    <t xml:space="preserve">Promedios (X,Y)</t>
  </si>
  <si>
    <t xml:space="preserve">Valor Anual</t>
  </si>
  <si>
    <t xml:space="preserve">B1</t>
  </si>
  <si>
    <t xml:space="preserve">tabla 1 (total)</t>
  </si>
  <si>
    <t xml:space="preserve">B0</t>
  </si>
  <si>
    <t xml:space="preserve">tabla 2 (total)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</si>
</sst>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General"/>
  </numFmts>
  <fonts count="1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36"/>
      <color theme="3"/>
      <name val="Aptos Narrow"/>
      <family val="2"/>
      <charset val="1"/>
    </font>
    <font>
      <b val="true"/>
      <sz val="15"/>
      <color theme="3"/>
      <name val="Aptos Narrow"/>
      <family val="2"/>
      <charset val="1"/>
    </font>
    <font>
      <sz val="11"/>
      <color theme="0"/>
      <name val="Aptos Narrow"/>
      <family val="2"/>
      <charset val="1"/>
    </font>
    <font>
      <sz val="11"/>
      <color theme="1"/>
      <name val="Aptos Narrow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sz val="11"/>
      <color theme="0"/>
      <name val="Cambria Math"/>
      <family val="1"/>
    </font>
    <font>
      <b val="true"/>
      <sz val="11"/>
      <color theme="0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  <bgColor rgb="FF008080"/>
      </patternFill>
    </fill>
    <fill>
      <patternFill patternType="solid">
        <fgColor theme="4" tint="0.7999"/>
        <bgColor rgb="FFD9D9D9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1" applyFont="true" applyBorder="tru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4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6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21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Heading 1" xfId="20"/>
    <cellStyle name="Excel Built-in Accent1" xfId="21"/>
    <cellStyle name="Excel Built-in 20% - Accent1" xfId="22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56082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808080"/>
      <rgbColor rgb="FF9999FF"/>
      <rgbColor rgb="FF993366"/>
      <rgbColor rgb="FFFFFFCC"/>
      <rgbColor rgb="FFC1E5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E284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openxmlformats.org/officeDocument/2006/relationships/chartUserShapes" Target="../drawings/drawing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Ventas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Hoja1!$C$11</c:f>
              <c:strCache>
                <c:ptCount val="1"/>
                <c:pt idx="0">
                  <c:v>Ventas</c:v>
                </c:pt>
              </c:strCache>
            </c:strRef>
          </c:tx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156082"/>
                </a:solidFill>
                <a:prstDash val="sysDot"/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xVal>
            <c:numRef>
              <c:f>Hoja1!$B$12:$B$17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Hoja1!$C$12:$C$17</c:f>
              <c:numCache>
                <c:formatCode>\$#,##0.00</c:formatCode>
                <c:ptCount val="6"/>
                <c:pt idx="0">
                  <c:v>6800</c:v>
                </c:pt>
                <c:pt idx="1">
                  <c:v>14450</c:v>
                </c:pt>
                <c:pt idx="2">
                  <c:v>12920</c:v>
                </c:pt>
                <c:pt idx="3">
                  <c:v>18700</c:v>
                </c:pt>
                <c:pt idx="4">
                  <c:v>22950</c:v>
                </c:pt>
                <c:pt idx="5">
                  <c:v>3600</c:v>
                </c:pt>
              </c:numCache>
            </c:numRef>
          </c:yVal>
          <c:smooth val="0"/>
        </c:ser>
        <c:axId val="58279562"/>
        <c:axId val="66914674"/>
      </c:scatterChart>
      <c:valAx>
        <c:axId val="5827956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66914674"/>
        <c:crosses val="autoZero"/>
        <c:crossBetween val="midCat"/>
      </c:valAx>
      <c:valAx>
        <c:axId val="6691467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827956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  <c:userShapes r:id="rId1"/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438120</xdr:colOff>
      <xdr:row>4</xdr:row>
      <xdr:rowOff>12600</xdr:rowOff>
    </xdr:from>
    <xdr:to>
      <xdr:col>4</xdr:col>
      <xdr:colOff>393480</xdr:colOff>
      <xdr:row>9</xdr:row>
      <xdr:rowOff>43920</xdr:rowOff>
    </xdr:to>
    <xdr:sp>
      <xdr:nvSpPr>
        <xdr:cNvPr id="0" name="CuadroTexto 1"/>
        <xdr:cNvSpPr/>
      </xdr:nvSpPr>
      <xdr:spPr>
        <a:xfrm>
          <a:off x="438120" y="803160"/>
          <a:ext cx="3638880" cy="936360"/>
        </a:xfrm>
        <a:prstGeom prst="rect">
          <a:avLst/>
        </a:prstGeom>
        <a:solidFill>
          <a:srgbClr val="ffffff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s-MX" sz="1100" spc="-1" strike="noStrike">
              <a:solidFill>
                <a:schemeClr val="dk1"/>
              </a:solidFill>
              <a:latin typeface="Aptos Narrow"/>
            </a:rPr>
            <a:t>Instrucciones: Estas vendiendo celulares, y observas que por cada mes que pasa vendes mas celulares.  Mira las ventas de los ultimos 6 meses y preduce la ganancia de las ventas de los siguientes meses del año.</a:t>
          </a:r>
          <a:endParaRPr b="0" lang="es-MX" sz="1100" spc="-1" strike="noStrike">
            <a:latin typeface="Times New Roman"/>
          </a:endParaRPr>
        </a:p>
      </xdr:txBody>
    </xdr:sp>
    <xdr:clientData/>
  </xdr:twoCellAnchor>
  <xdr:twoCellAnchor editAs="oneCell">
    <xdr:from>
      <xdr:col>4</xdr:col>
      <xdr:colOff>755640</xdr:colOff>
      <xdr:row>4</xdr:row>
      <xdr:rowOff>31680</xdr:rowOff>
    </xdr:from>
    <xdr:to>
      <xdr:col>11</xdr:col>
      <xdr:colOff>234720</xdr:colOff>
      <xdr:row>18</xdr:row>
      <xdr:rowOff>107640</xdr:rowOff>
    </xdr:to>
    <xdr:graphicFrame>
      <xdr:nvGraphicFramePr>
        <xdr:cNvPr id="1" name="Gráfico 2"/>
        <xdr:cNvGraphicFramePr/>
      </xdr:nvGraphicFramePr>
      <xdr:xfrm>
        <a:off x="4439160" y="822240"/>
        <a:ext cx="5888160" cy="260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208080</xdr:colOff>
      <xdr:row>10</xdr:row>
      <xdr:rowOff>166680</xdr:rowOff>
    </xdr:from>
    <xdr:to>
      <xdr:col>7</xdr:col>
      <xdr:colOff>213120</xdr:colOff>
      <xdr:row>11</xdr:row>
      <xdr:rowOff>166680</xdr:rowOff>
    </xdr:to>
    <xdr:cxnSp>
      <xdr:nvCxnSpPr>
        <xdr:cNvPr id="4" name="Conector recto 6"/>
        <xdr:cNvCxnSpPr/>
      </xdr:nvCxnSpPr>
      <xdr:spPr>
        <a:xfrm flipH="1">
          <a:off x="6717600" y="2043000"/>
          <a:ext cx="5400" cy="18144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6</xdr:col>
      <xdr:colOff>352440</xdr:colOff>
      <xdr:row>11</xdr:row>
      <xdr:rowOff>148680</xdr:rowOff>
    </xdr:from>
    <xdr:to>
      <xdr:col>6</xdr:col>
      <xdr:colOff>352440</xdr:colOff>
      <xdr:row>14</xdr:row>
      <xdr:rowOff>48960</xdr:rowOff>
    </xdr:to>
    <xdr:cxnSp>
      <xdr:nvCxnSpPr>
        <xdr:cNvPr id="5" name="Conector recto 8"/>
        <xdr:cNvCxnSpPr/>
      </xdr:nvCxnSpPr>
      <xdr:spPr>
        <a:xfrm>
          <a:off x="6014160" y="2206080"/>
          <a:ext cx="360" cy="44352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8</xdr:col>
      <xdr:colOff>640080</xdr:colOff>
      <xdr:row>9</xdr:row>
      <xdr:rowOff>42840</xdr:rowOff>
    </xdr:from>
    <xdr:to>
      <xdr:col>8</xdr:col>
      <xdr:colOff>678240</xdr:colOff>
      <xdr:row>11</xdr:row>
      <xdr:rowOff>104760</xdr:rowOff>
    </xdr:to>
    <xdr:cxnSp>
      <xdr:nvCxnSpPr>
        <xdr:cNvPr id="6" name="Conector recto 13"/>
        <xdr:cNvCxnSpPr/>
      </xdr:nvCxnSpPr>
      <xdr:spPr>
        <a:xfrm>
          <a:off x="7997040" y="1738440"/>
          <a:ext cx="38520" cy="4240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9</xdr:col>
      <xdr:colOff>491040</xdr:colOff>
      <xdr:row>7</xdr:row>
      <xdr:rowOff>99720</xdr:rowOff>
    </xdr:from>
    <xdr:to>
      <xdr:col>9</xdr:col>
      <xdr:colOff>515160</xdr:colOff>
      <xdr:row>11</xdr:row>
      <xdr:rowOff>37800</xdr:rowOff>
    </xdr:to>
    <xdr:cxnSp>
      <xdr:nvCxnSpPr>
        <xdr:cNvPr id="7" name="Conector recto 16"/>
        <xdr:cNvCxnSpPr/>
      </xdr:nvCxnSpPr>
      <xdr:spPr>
        <a:xfrm>
          <a:off x="8695800" y="1433160"/>
          <a:ext cx="24480" cy="66240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10</xdr:col>
      <xdr:colOff>180720</xdr:colOff>
      <xdr:row>11</xdr:row>
      <xdr:rowOff>13320</xdr:rowOff>
    </xdr:from>
    <xdr:to>
      <xdr:col>10</xdr:col>
      <xdr:colOff>228600</xdr:colOff>
      <xdr:row>15</xdr:row>
      <xdr:rowOff>84600</xdr:rowOff>
    </xdr:to>
    <xdr:cxnSp>
      <xdr:nvCxnSpPr>
        <xdr:cNvPr id="8" name="Conector recto 17"/>
        <xdr:cNvCxnSpPr/>
      </xdr:nvCxnSpPr>
      <xdr:spPr>
        <a:xfrm>
          <a:off x="9425520" y="2070720"/>
          <a:ext cx="48240" cy="79560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oneCell">
    <xdr:from>
      <xdr:col>3</xdr:col>
      <xdr:colOff>57240</xdr:colOff>
      <xdr:row>20</xdr:row>
      <xdr:rowOff>7560</xdr:rowOff>
    </xdr:from>
    <xdr:to>
      <xdr:col>3</xdr:col>
      <xdr:colOff>671400</xdr:colOff>
      <xdr:row>21</xdr:row>
      <xdr:rowOff>16560</xdr:rowOff>
    </xdr:to>
    <xdr:sp>
      <xdr:nvSpPr>
        <xdr:cNvPr id="9" name="CuadroTexto 20"/>
        <xdr:cNvSpPr/>
      </xdr:nvSpPr>
      <xdr:spPr>
        <a:xfrm>
          <a:off x="2893320" y="3693600"/>
          <a:ext cx="614160" cy="1900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0" rIns="0" tIns="0" bIns="0" anchor="t">
          <a:spAutoFit/>
        </a:bodyPr>
        <a:p>
          <a:pPr>
            <a:lnSpc>
              <a:spcPct val="100000"/>
            </a:lnSpc>
          </a:pPr>
          <a:r>
            <a:rPr b="0" lang="es-MX" sz="1100" spc="-1" strike="noStrike">
              <a:solidFill>
                <a:schemeClr val="lt1"/>
              </a:solidFill>
              <a:latin typeface="Cambria Math"/>
            </a:rPr>
            <a:t>𝑥−𝑥 ̅</a:t>
          </a:r>
          <a:endParaRPr b="0" lang="es-MX" sz="1100" spc="-1" strike="noStrike">
            <a:latin typeface="Times New Roman"/>
          </a:endParaRPr>
        </a:p>
      </xdr:txBody>
    </xdr:sp>
    <xdr:clientData/>
  </xdr:twoCellAnchor>
  <xdr:twoCellAnchor editAs="oneCell">
    <xdr:from>
      <xdr:col>4</xdr:col>
      <xdr:colOff>217080</xdr:colOff>
      <xdr:row>20</xdr:row>
      <xdr:rowOff>7560</xdr:rowOff>
    </xdr:from>
    <xdr:to>
      <xdr:col>4</xdr:col>
      <xdr:colOff>529560</xdr:colOff>
      <xdr:row>21</xdr:row>
      <xdr:rowOff>16560</xdr:rowOff>
    </xdr:to>
    <xdr:sp>
      <xdr:nvSpPr>
        <xdr:cNvPr id="10" name="CuadroTexto 22"/>
        <xdr:cNvSpPr/>
      </xdr:nvSpPr>
      <xdr:spPr>
        <a:xfrm>
          <a:off x="3900600" y="3693600"/>
          <a:ext cx="312480" cy="1900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wrap="none" horzOverflow="clip" vertOverflow="clip" lIns="0" rIns="0" tIns="0" bIns="0" anchor="t">
          <a:spAutoFit/>
        </a:bodyPr>
        <a:p>
          <a:pPr>
            <a:lnSpc>
              <a:spcPct val="100000"/>
            </a:lnSpc>
          </a:pPr>
          <a:r>
            <a:rPr b="0" lang="es-MX" sz="1100" spc="-1" strike="noStrike">
              <a:solidFill>
                <a:schemeClr val="lt1"/>
              </a:solidFill>
              <a:latin typeface="Cambria Math"/>
            </a:rPr>
            <a:t>𝑦−𝑦 ̅</a:t>
          </a:r>
          <a:endParaRPr b="0" lang="es-MX" sz="1100" spc="-1" strike="noStrike">
            <a:latin typeface="Times New Roman"/>
          </a:endParaRPr>
        </a:p>
      </xdr:txBody>
    </xdr:sp>
    <xdr:clientData/>
  </xdr:twoCellAnchor>
  <xdr:twoCellAnchor editAs="oneCell">
    <xdr:from>
      <xdr:col>4</xdr:col>
      <xdr:colOff>784440</xdr:colOff>
      <xdr:row>20</xdr:row>
      <xdr:rowOff>2520</xdr:rowOff>
    </xdr:from>
    <xdr:to>
      <xdr:col>5</xdr:col>
      <xdr:colOff>799920</xdr:colOff>
      <xdr:row>21</xdr:row>
      <xdr:rowOff>11520</xdr:rowOff>
    </xdr:to>
    <xdr:sp>
      <xdr:nvSpPr>
        <xdr:cNvPr id="11" name="CuadroTexto 23"/>
        <xdr:cNvSpPr/>
      </xdr:nvSpPr>
      <xdr:spPr>
        <a:xfrm>
          <a:off x="4467960" y="3688560"/>
          <a:ext cx="863280" cy="1900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wrap="none" horzOverflow="clip" vertOverflow="clip" lIns="0" rIns="0" tIns="0" bIns="0" anchor="t">
          <a:spAutoFit/>
        </a:bodyPr>
        <a:p>
          <a:pPr>
            <a:lnSpc>
              <a:spcPct val="100000"/>
            </a:lnSpc>
          </a:pPr>
          <a:r>
            <a:rPr b="0" lang="es-MX" sz="1100" spc="-1" strike="noStrike">
              <a:solidFill>
                <a:schemeClr val="lt1"/>
              </a:solidFill>
              <a:latin typeface="Cambria Math"/>
            </a:rPr>
            <a:t>(𝑥−𝑥 ̅ )(𝑦−𝑦 ̅ )</a:t>
          </a:r>
          <a:endParaRPr b="0" lang="es-MX" sz="1100" spc="-1" strike="noStrike">
            <a:latin typeface="Times New Roman"/>
          </a:endParaRPr>
        </a:p>
      </xdr:txBody>
    </xdr:sp>
    <xdr:clientData/>
  </xdr:twoCellAnchor>
  <xdr:twoCellAnchor editAs="oneCell">
    <xdr:from>
      <xdr:col>6</xdr:col>
      <xdr:colOff>58320</xdr:colOff>
      <xdr:row>20</xdr:row>
      <xdr:rowOff>7560</xdr:rowOff>
    </xdr:from>
    <xdr:to>
      <xdr:col>6</xdr:col>
      <xdr:colOff>648720</xdr:colOff>
      <xdr:row>21</xdr:row>
      <xdr:rowOff>16560</xdr:rowOff>
    </xdr:to>
    <xdr:sp>
      <xdr:nvSpPr>
        <xdr:cNvPr id="12" name="CuadroTexto 25"/>
        <xdr:cNvSpPr/>
      </xdr:nvSpPr>
      <xdr:spPr>
        <a:xfrm>
          <a:off x="5720040" y="3693600"/>
          <a:ext cx="590400" cy="1900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wrap="none" horzOverflow="clip" vertOverflow="clip" lIns="0" rIns="0" tIns="0" bIns="0" anchor="t">
          <a:spAutoFit/>
        </a:bodyPr>
        <a:p>
          <a:pPr>
            <a:lnSpc>
              <a:spcPct val="100000"/>
            </a:lnSpc>
          </a:pPr>
          <a:r>
            <a:rPr b="0" lang="es-MX" sz="1100" spc="-1" strike="noStrike">
              <a:solidFill>
                <a:schemeClr val="lt1"/>
              </a:solidFill>
              <a:latin typeface="Cambria Math"/>
            </a:rPr>
            <a:t>(𝑥−𝑥 ̅ )^2</a:t>
          </a:r>
          <a:endParaRPr b="0" lang="es-MX" sz="1100" spc="-1" strike="noStrike">
            <a:latin typeface="Times New Roman"/>
          </a:endParaRPr>
        </a:p>
      </xdr:txBody>
    </xdr:sp>
    <xdr:clientData/>
  </xdr:twoCellAnchor>
  <xdr:twoCellAnchor editAs="twoCell">
    <xdr:from>
      <xdr:col>11</xdr:col>
      <xdr:colOff>623880</xdr:colOff>
      <xdr:row>4</xdr:row>
      <xdr:rowOff>104760</xdr:rowOff>
    </xdr:from>
    <xdr:to>
      <xdr:col>16</xdr:col>
      <xdr:colOff>640440</xdr:colOff>
      <xdr:row>17</xdr:row>
      <xdr:rowOff>153720</xdr:rowOff>
    </xdr:to>
    <xdr:sp>
      <xdr:nvSpPr>
        <xdr:cNvPr id="13" name="CuadroTexto 3"/>
        <xdr:cNvSpPr/>
      </xdr:nvSpPr>
      <xdr:spPr>
        <a:xfrm>
          <a:off x="10716480" y="895320"/>
          <a:ext cx="4255200" cy="2401560"/>
        </a:xfrm>
        <a:prstGeom prst="rect">
          <a:avLst/>
        </a:prstGeom>
        <a:solidFill>
          <a:srgbClr val="ffffff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s-MX" sz="1100" spc="-1" strike="noStrike">
              <a:solidFill>
                <a:schemeClr val="dk1"/>
              </a:solidFill>
              <a:latin typeface="Aptos Narrow"/>
            </a:rPr>
            <a:t>Pasos.</a:t>
          </a:r>
          <a:endParaRPr b="0" lang="es-MX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100" spc="-1" strike="noStrike">
              <a:solidFill>
                <a:schemeClr val="dk1"/>
              </a:solidFill>
              <a:latin typeface="Aptos Narrow"/>
            </a:rPr>
            <a:t>1. En base a la tabla de ventas se graficaron los datos de los primeros 6 meses del año. con sus respectivos errores.</a:t>
          </a:r>
          <a:endParaRPr b="0" lang="es-MX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100" spc="-1" strike="noStrike">
              <a:solidFill>
                <a:schemeClr val="dk1"/>
              </a:solidFill>
              <a:latin typeface="Aptos Narrow"/>
            </a:rPr>
            <a:t>2. Seguido se realizo la tabla de las operaciones para tener la informacion necesaria para obtener el valor de beta 1 y beta 0 para la formula de regresion lineal.</a:t>
          </a:r>
          <a:endParaRPr b="0" lang="es-MX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100" spc="-1" strike="noStrike">
              <a:solidFill>
                <a:schemeClr val="dk1"/>
              </a:solidFill>
              <a:latin typeface="Aptos Narrow"/>
            </a:rPr>
            <a:t>3. Con los datos de la tabla se obtuvo el valor de Beta 1 y Beta 0 respectivamente para con esa informacion poder usar la formula de regresion lineal.</a:t>
          </a:r>
          <a:endParaRPr b="0" lang="es-MX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100" spc="-1" strike="noStrike">
              <a:solidFill>
                <a:schemeClr val="dk1"/>
              </a:solidFill>
              <a:latin typeface="Aptos Narrow"/>
            </a:rPr>
            <a:t>4. Finalmente se utilizo la formula de regresion lineal para predecir las ventas de los proximos 6 meses, esto se Hizo remplazando la variable x de la formula por el numero de cada mes, finalmente se sumaron los valores de las ventas de los 12 meses para calcular la venta anual.</a:t>
          </a:r>
          <a:endParaRPr b="0" lang="es-MX" sz="1100" spc="-1" strike="noStrike">
            <a:latin typeface="Times New Roman"/>
          </a:endParaRPr>
        </a:p>
      </xdr:txBody>
    </xdr:sp>
    <xdr:clientData/>
  </xdr:twoCellAnchor>
</xdr:wsDr>
</file>

<file path=xl/drawings/drawing2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0.137188971082717</cdr:x>
      <cdr:y>0.462758620689655</cdr:y>
    </cdr:from>
    <cdr:to>
      <cdr:x>0.976156997004341</cdr:x>
      <cdr:y>0.555448275862069</cdr:y>
    </cdr:to>
    <cdr:cxnSp>
      <cdr:nvCxnSpPr>
        <cdr:cNvPr id="2" name="Conector recto 2"/>
        <cdr:cNvCxnSpPr/>
      </cdr:nvCxnSpPr>
      <cdr:spPr>
        <a:xfrm flipV="1">
          <a:off x="807840" y="1207800"/>
          <a:ext cx="4940640" cy="242280"/>
        </a:xfrm>
        <a:prstGeom prst="straightConnector1">
          <a:avLst/>
        </a:prstGeom>
        <a:ln w="19050">
          <a:solidFill>
            <a:srgbClr val="156082"/>
          </a:solidFill>
          <a:miter/>
        </a:ln>
      </cdr:spPr>
    </cdr:cxnSp>
  </cdr:relSizeAnchor>
  <cdr:relSizeAnchor>
    <cdr:from>
      <cdr:x>0.0105153756801369</cdr:x>
      <cdr:y>0.0184827586206897</cdr:y>
    </cdr:from>
    <cdr:to>
      <cdr:x>0.0144892095127468</cdr:x>
      <cdr:y>0.0775172413793104</cdr:y>
    </cdr:to>
    <cdr:cxnSp>
      <cdr:nvCxnSpPr>
        <cdr:cNvPr id="3" name="Conector recto 9"/>
        <cdr:cNvCxnSpPr/>
      </cdr:nvCxnSpPr>
      <cdr:spPr>
        <a:xfrm>
          <a:off x="61920" y="48240"/>
          <a:ext cx="23760" cy="154440"/>
        </a:xfrm>
        <a:prstGeom prst="straightConnector1">
          <a:avLst/>
        </a:prstGeom>
        <a:ln w="19050">
          <a:solidFill>
            <a:srgbClr val="156082"/>
          </a:solidFill>
          <a:miter/>
        </a:ln>
      </cdr:spPr>
    </cdr:cxnSp>
  </cdr:relSizeAnchor>
</c:userShapes>
</file>

<file path=xl/tables/table1.xml><?xml version="1.0" encoding="utf-8"?>
<table xmlns="http://schemas.openxmlformats.org/spreadsheetml/2006/main" id="1" name="Tabla1" displayName="Tabla1" ref="B11:C17" headerRowCount="1" totalsRowCount="0" totalsRowShown="0">
  <autoFilter ref="B11:C17"/>
  <tableColumns count="2">
    <tableColumn id="1" name="Mes"/>
    <tableColumn id="2" name="Ventas" totalsRowFunction="sum"/>
  </tableColumns>
</table>
</file>

<file path=xl/tables/table2.xml><?xml version="1.0" encoding="utf-8"?>
<table xmlns="http://schemas.openxmlformats.org/spreadsheetml/2006/main" id="2" name="Tabla2" displayName="Tabla2" ref="B21:G28" headerRowCount="1" totalsRowCount="1" totalsRowShown="1">
  <autoFilter ref="B21:G28"/>
  <tableColumns count="6">
    <tableColumn id="1" name="X" totalsRowFunction="custom"/>
    <tableColumn id="2" name="Y" totalsRowFunction="custom"/>
    <tableColumn id="3" name=" "/>
    <tableColumn id="4" name="   "/>
    <tableColumn id="5" name="        " totalsRowFunction="sum"/>
    <tableColumn id="6" name="      " totalsRowFunction="sum"/>
  </tableColumns>
</table>
</file>

<file path=xl/tables/table3.xml><?xml version="1.0" encoding="utf-8"?>
<table xmlns="http://schemas.openxmlformats.org/spreadsheetml/2006/main" id="3" name="Tabla3" displayName="Tabla3" ref="I22:J28" headerRowCount="1" totalsRowCount="0" totalsRowShown="0">
  <autoFilter ref="I22:J28"/>
  <tableColumns count="2">
    <tableColumn id="1" name="Mes"/>
    <tableColumn id="2" name="Ventas" totalsRowFunction="sum"/>
  </tableColumns>
</table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M20" activeCellId="0" sqref="M20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0" width="14.25"/>
    <col collapsed="false" customWidth="true" hidden="false" outlineLevel="0" max="6" min="6" style="0" width="14.13"/>
    <col collapsed="false" customWidth="true" hidden="false" outlineLevel="0" max="10" min="10" style="0" width="13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</row>
    <row r="2" customFormat="false" ht="16.5" hidden="false" customHeight="true" outlineLevel="0" collapsed="false">
      <c r="A2" s="1"/>
      <c r="B2" s="1"/>
      <c r="C2" s="1"/>
      <c r="D2" s="1"/>
      <c r="E2" s="1"/>
    </row>
    <row r="3" customFormat="false" ht="16.5" hidden="false" customHeight="true" outlineLevel="0" collapsed="false">
      <c r="A3" s="1"/>
      <c r="B3" s="1"/>
      <c r="C3" s="1"/>
      <c r="D3" s="1"/>
      <c r="E3" s="1"/>
    </row>
    <row r="11" customFormat="false" ht="14.25" hidden="false" customHeight="false" outlineLevel="0" collapsed="false">
      <c r="B11" s="2" t="s">
        <v>1</v>
      </c>
      <c r="C11" s="2" t="s">
        <v>2</v>
      </c>
    </row>
    <row r="12" customFormat="false" ht="14.25" hidden="false" customHeight="false" outlineLevel="0" collapsed="false">
      <c r="B12" s="3" t="n">
        <v>1</v>
      </c>
      <c r="C12" s="4" t="n">
        <v>6800</v>
      </c>
    </row>
    <row r="13" customFormat="false" ht="14.25" hidden="false" customHeight="false" outlineLevel="0" collapsed="false">
      <c r="B13" s="3" t="n">
        <v>2</v>
      </c>
      <c r="C13" s="4" t="n">
        <v>14450</v>
      </c>
    </row>
    <row r="14" customFormat="false" ht="14.25" hidden="false" customHeight="false" outlineLevel="0" collapsed="false">
      <c r="B14" s="3" t="n">
        <v>3</v>
      </c>
      <c r="C14" s="4" t="n">
        <v>12920</v>
      </c>
    </row>
    <row r="15" customFormat="false" ht="14.25" hidden="false" customHeight="false" outlineLevel="0" collapsed="false">
      <c r="B15" s="3" t="n">
        <v>4</v>
      </c>
      <c r="C15" s="4" t="n">
        <v>18700</v>
      </c>
    </row>
    <row r="16" customFormat="false" ht="14.25" hidden="false" customHeight="false" outlineLevel="0" collapsed="false">
      <c r="B16" s="3" t="n">
        <v>5</v>
      </c>
      <c r="C16" s="4" t="n">
        <v>22950</v>
      </c>
    </row>
    <row r="17" customFormat="false" ht="14.25" hidden="false" customHeight="false" outlineLevel="0" collapsed="false">
      <c r="B17" s="3" t="n">
        <v>6</v>
      </c>
      <c r="C17" s="4" t="n">
        <v>3600</v>
      </c>
    </row>
    <row r="21" customFormat="false" ht="14.25" hidden="false" customHeight="false" outlineLevel="0" collapsed="false">
      <c r="B21" s="2" t="s">
        <v>3</v>
      </c>
      <c r="C21" s="2" t="s">
        <v>4</v>
      </c>
      <c r="D21" s="2" t="s">
        <v>5</v>
      </c>
      <c r="E21" s="2" t="s">
        <v>6</v>
      </c>
      <c r="F21" s="2" t="s">
        <v>7</v>
      </c>
      <c r="G21" s="2" t="s">
        <v>8</v>
      </c>
      <c r="I21" s="5" t="s">
        <v>9</v>
      </c>
      <c r="J21" s="5"/>
    </row>
    <row r="22" customFormat="false" ht="14.25" hidden="false" customHeight="false" outlineLevel="0" collapsed="false">
      <c r="B22" s="3" t="n">
        <v>1</v>
      </c>
      <c r="C22" s="4" t="n">
        <v>6800</v>
      </c>
      <c r="D22" s="3" t="n">
        <f aca="false">MOD(Tabla2[[#This Row],[X]],Tabla2[[#Totals],[X]])</f>
        <v>1</v>
      </c>
      <c r="E22" s="3" t="n">
        <f aca="false">MOD(Tabla2[[#This Row],[Y]],Tabla2[[#Totals],[Y]])</f>
        <v>6800</v>
      </c>
      <c r="F22" s="3" t="n">
        <f aca="false">Tabla2[[#This Row],[ ]]*Tabla2[[#This Row],[   ]]</f>
        <v>6800</v>
      </c>
      <c r="G22" s="3" t="n">
        <f aca="false">POWER(Tabla2[[#This Row],[ ]],2)</f>
        <v>1</v>
      </c>
      <c r="I22" s="2" t="s">
        <v>1</v>
      </c>
      <c r="J22" s="2" t="s">
        <v>2</v>
      </c>
    </row>
    <row r="23" customFormat="false" ht="14.25" hidden="false" customHeight="false" outlineLevel="0" collapsed="false">
      <c r="B23" s="3" t="n">
        <v>2</v>
      </c>
      <c r="C23" s="4" t="n">
        <v>14450</v>
      </c>
      <c r="D23" s="3" t="n">
        <f aca="false">MOD(Tabla2[[#This Row],[X]],Tabla2[[#Totals],[X]])</f>
        <v>2</v>
      </c>
      <c r="E23" s="3" t="n">
        <f aca="false">MOD(Tabla2[[#This Row],[Y]],Tabla2[[#Totals],[Y]])</f>
        <v>1213.33333333333</v>
      </c>
      <c r="F23" s="3" t="n">
        <f aca="false">Tabla2[[#This Row],[ ]]*Tabla2[[#This Row],[   ]]</f>
        <v>2426.66666666667</v>
      </c>
      <c r="G23" s="3" t="n">
        <f aca="false">POWER(Tabla2[[#This Row],[ ]],2)</f>
        <v>4</v>
      </c>
      <c r="I23" s="3" t="n">
        <v>7</v>
      </c>
      <c r="J23" s="3" t="n">
        <f aca="false">D30*Tabla3[[#This Row],[Mes]]+D31</f>
        <v>24665.641025641</v>
      </c>
    </row>
    <row r="24" customFormat="false" ht="14.25" hidden="false" customHeight="false" outlineLevel="0" collapsed="false">
      <c r="B24" s="3" t="n">
        <v>3</v>
      </c>
      <c r="C24" s="4" t="n">
        <v>12920</v>
      </c>
      <c r="D24" s="3" t="n">
        <f aca="false">MOD(Tabla2[[#This Row],[X]],Tabla2[[#Totals],[X]])</f>
        <v>3</v>
      </c>
      <c r="E24" s="3" t="n">
        <f aca="false">MOD(Tabla2[[#This Row],[Y]],Tabla2[[#Totals],[Y]])</f>
        <v>12920</v>
      </c>
      <c r="F24" s="3" t="n">
        <f aca="false">Tabla2[[#This Row],[ ]]*Tabla2[[#This Row],[   ]]</f>
        <v>38760</v>
      </c>
      <c r="G24" s="3" t="n">
        <f aca="false">POWER(Tabla2[[#This Row],[ ]],2)</f>
        <v>9</v>
      </c>
      <c r="I24" s="3" t="n">
        <v>8</v>
      </c>
      <c r="J24" s="3" t="n">
        <f aca="false">D30*Tabla3[[#This Row],[Mes]]+D31</f>
        <v>27931.0622710623</v>
      </c>
    </row>
    <row r="25" customFormat="false" ht="14.25" hidden="false" customHeight="false" outlineLevel="0" collapsed="false">
      <c r="B25" s="3" t="n">
        <v>4</v>
      </c>
      <c r="C25" s="4" t="n">
        <v>18700</v>
      </c>
      <c r="D25" s="3" t="n">
        <f aca="false">MOD(Tabla2[[#This Row],[X]],Tabla2[[#Totals],[X]])</f>
        <v>0.5</v>
      </c>
      <c r="E25" s="3" t="n">
        <f aca="false">MOD(Tabla2[[#This Row],[Y]],Tabla2[[#Totals],[Y]])</f>
        <v>5463.33333333333</v>
      </c>
      <c r="F25" s="3" t="n">
        <f aca="false">Tabla2[[#This Row],[ ]]*Tabla2[[#This Row],[   ]]</f>
        <v>2731.66666666667</v>
      </c>
      <c r="G25" s="3" t="n">
        <f aca="false">POWER(Tabla2[[#This Row],[ ]],2)</f>
        <v>0.25</v>
      </c>
      <c r="I25" s="3" t="n">
        <v>9</v>
      </c>
      <c r="J25" s="3" t="n">
        <f aca="false">D30*Tabla3[[#This Row],[Mes]]+D31</f>
        <v>31196.4835164835</v>
      </c>
    </row>
    <row r="26" customFormat="false" ht="14.25" hidden="false" customHeight="false" outlineLevel="0" collapsed="false">
      <c r="B26" s="3" t="n">
        <v>5</v>
      </c>
      <c r="C26" s="4" t="n">
        <v>22950</v>
      </c>
      <c r="D26" s="3" t="n">
        <f aca="false">MOD(Tabla2[[#This Row],[X]],Tabla2[[#Totals],[X]])</f>
        <v>1.5</v>
      </c>
      <c r="E26" s="3" t="n">
        <f aca="false">MOD(Tabla2[[#This Row],[Y]],Tabla2[[#Totals],[Y]])</f>
        <v>9713.33333333333</v>
      </c>
      <c r="F26" s="3" t="n">
        <f aca="false">Tabla2[[#This Row],[ ]]*Tabla2[[#This Row],[   ]]</f>
        <v>14570</v>
      </c>
      <c r="G26" s="3" t="n">
        <f aca="false">POWER(Tabla2[[#This Row],[ ]],2)</f>
        <v>2.25</v>
      </c>
      <c r="I26" s="3" t="n">
        <v>10</v>
      </c>
      <c r="J26" s="3" t="n">
        <f aca="false">D30*Tabla3[[#This Row],[Mes]]+D31</f>
        <v>34461.9047619048</v>
      </c>
    </row>
    <row r="27" customFormat="false" ht="14.25" hidden="false" customHeight="false" outlineLevel="0" collapsed="false">
      <c r="B27" s="3" t="n">
        <v>6</v>
      </c>
      <c r="C27" s="4" t="n">
        <v>3600</v>
      </c>
      <c r="D27" s="3" t="n">
        <f aca="false">MOD(Tabla2[[#This Row],[X]],Tabla2[[#Totals],[X]])</f>
        <v>2.5</v>
      </c>
      <c r="E27" s="3" t="n">
        <f aca="false">MOD(Tabla2[[#This Row],[Y]],Tabla2[[#Totals],[Y]])</f>
        <v>3600</v>
      </c>
      <c r="F27" s="3" t="n">
        <f aca="false">Tabla2[[#This Row],[ ]]*Tabla2[[#This Row],[   ]]</f>
        <v>9000</v>
      </c>
      <c r="G27" s="3" t="n">
        <f aca="false">POWER(Tabla2[[#This Row],[ ]],2)</f>
        <v>6.25</v>
      </c>
      <c r="I27" s="3" t="n">
        <v>11</v>
      </c>
      <c r="J27" s="3" t="n">
        <f aca="false">D30*Tabla3[[#This Row],[Mes]]+D31</f>
        <v>37727.326007326</v>
      </c>
    </row>
    <row r="28" customFormat="false" ht="14.25" hidden="false" customHeight="false" outlineLevel="0" collapsed="false">
      <c r="A28" s="6" t="s">
        <v>10</v>
      </c>
      <c r="B28" s="7" t="n">
        <f aca="false">AVERAGE(Tabla2[X])</f>
        <v>3.5</v>
      </c>
      <c r="C28" s="7" t="n">
        <f aca="false">AVERAGE(Tabla2[Y])</f>
        <v>13236.6666666667</v>
      </c>
      <c r="D28" s="3"/>
      <c r="E28" s="3"/>
      <c r="F28" s="3" t="n">
        <f aca="false">SUBTOTAL(109,Tabla2[[        ]])</f>
        <v>74288.3333333333</v>
      </c>
      <c r="G28" s="3" t="n">
        <f aca="false">SUBTOTAL(109,Tabla2[[      ]])</f>
        <v>22.75</v>
      </c>
      <c r="I28" s="3" t="n">
        <v>12</v>
      </c>
      <c r="J28" s="3" t="n">
        <f aca="false">D30*Tabla3[[#This Row],[Mes]]+D31</f>
        <v>40992.7472527473</v>
      </c>
    </row>
    <row r="29" customFormat="false" ht="14.25" hidden="false" customHeight="false" outlineLevel="0" collapsed="false">
      <c r="I29" s="8" t="s">
        <v>11</v>
      </c>
      <c r="J29" s="9" t="n">
        <f aca="false">SUM(G30,G31)</f>
        <v>276395.16</v>
      </c>
    </row>
    <row r="30" customFormat="false" ht="14.25" hidden="false" customHeight="false" outlineLevel="0" collapsed="false">
      <c r="C30" s="10" t="s">
        <v>12</v>
      </c>
      <c r="D30" s="11" t="n">
        <f aca="false">Tabla2[[#Totals],[        ]]/Tabla2[[#Totals],[      ]]</f>
        <v>3265.42124542125</v>
      </c>
      <c r="F30" s="6" t="s">
        <v>13</v>
      </c>
      <c r="G30" s="6" t="n">
        <v>79420</v>
      </c>
    </row>
    <row r="31" customFormat="false" ht="14.25" hidden="false" customHeight="false" outlineLevel="0" collapsed="false">
      <c r="C31" s="12" t="s">
        <v>14</v>
      </c>
      <c r="D31" s="13" t="n">
        <f aca="false">Tabla2[[#Totals],[Y]]-D30*Tabla2[[#Totals],[X]]</f>
        <v>1807.69230769231</v>
      </c>
      <c r="F31" s="6" t="s">
        <v>15</v>
      </c>
      <c r="G31" s="6" t="n">
        <v>196975.16</v>
      </c>
    </row>
  </sheetData>
  <mergeCells count="2">
    <mergeCell ref="A1:E3"/>
    <mergeCell ref="I21:J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B16" activeCellId="0" sqref="B16"/>
    </sheetView>
  </sheetViews>
  <sheetFormatPr defaultColWidth="10.16015625" defaultRowHeight="12.8" zeroHeight="false" outlineLevelRow="0" outlineLevelCol="0"/>
  <sheetData>
    <row r="1" customFormat="false" ht="16.05" hidden="false" customHeight="true" outlineLevel="0" collapsed="false">
      <c r="A1" s="14" t="s">
        <v>1</v>
      </c>
      <c r="B1" s="14" t="s">
        <v>2</v>
      </c>
    </row>
    <row r="2" customFormat="false" ht="13.8" hidden="false" customHeight="false" outlineLevel="0" collapsed="false">
      <c r="A2" s="3" t="n">
        <v>1</v>
      </c>
      <c r="B2" s="4" t="n">
        <v>6800</v>
      </c>
    </row>
    <row r="3" customFormat="false" ht="13.8" hidden="false" customHeight="false" outlineLevel="0" collapsed="false">
      <c r="A3" s="3" t="n">
        <v>2</v>
      </c>
      <c r="B3" s="4" t="n">
        <v>14450</v>
      </c>
    </row>
    <row r="4" customFormat="false" ht="13.8" hidden="false" customHeight="false" outlineLevel="0" collapsed="false">
      <c r="A4" s="3" t="n">
        <v>3</v>
      </c>
      <c r="B4" s="4" t="n">
        <v>12920</v>
      </c>
    </row>
    <row r="5" customFormat="false" ht="13.8" hidden="false" customHeight="false" outlineLevel="0" collapsed="false">
      <c r="A5" s="3" t="n">
        <v>4</v>
      </c>
      <c r="B5" s="4" t="n">
        <v>18700</v>
      </c>
    </row>
    <row r="6" customFormat="false" ht="13.8" hidden="false" customHeight="false" outlineLevel="0" collapsed="false">
      <c r="A6" s="3" t="n">
        <v>5</v>
      </c>
      <c r="B6" s="4" t="n">
        <v>22950</v>
      </c>
    </row>
    <row r="7" customFormat="false" ht="13.8" hidden="false" customHeight="false" outlineLevel="0" collapsed="false">
      <c r="A7" s="3" t="n">
        <v>6</v>
      </c>
      <c r="B7" s="4" t="n">
        <v>3600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2024-09-11T00:53:31Z</dcterms:created>
  <dc:creator>INFORMATICA</dc:creator>
  <dc:description/>
  <dc:language>es-MX</dc:language>
  <cp:lastModifiedBy/>
  <dcterms:modified xsi:type="dcterms:W3CDTF">2026-07-20T16:22:21Z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